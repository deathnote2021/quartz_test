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9580"/>
  </bookViews>
  <sheets>
    <sheet name="增额终身寿" sheetId="1" r:id="rId1"/>
  </sheets>
  <calcPr calcId="144525"/>
</workbook>
</file>

<file path=xl/sharedStrings.xml><?xml version="1.0" encoding="utf-8"?>
<sst xmlns="http://schemas.openxmlformats.org/spreadsheetml/2006/main" count="16" uniqueCount="16">
  <si>
    <t>保单年度</t>
  </si>
  <si>
    <t>年交（年末）</t>
  </si>
  <si>
    <t>累计</t>
  </si>
  <si>
    <t>年末减保金额</t>
  </si>
  <si>
    <t>现金价值(年末）</t>
  </si>
  <si>
    <t>实际价值（年末）</t>
  </si>
  <si>
    <t>减保后年度基本保险金额</t>
  </si>
  <si>
    <t>减保后身故金</t>
  </si>
  <si>
    <t>利率</t>
  </si>
  <si>
    <t>年交保费</t>
  </si>
  <si>
    <t>交几年</t>
  </si>
  <si>
    <t>search-年</t>
  </si>
  <si>
    <t>这年取完</t>
  </si>
  <si>
    <t>现金价值</t>
  </si>
  <si>
    <t>计算价值</t>
  </si>
  <si>
    <t>等同利率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</si>
</sst>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4" applyNumberFormat="0" applyAlignment="0" applyProtection="0">
      <alignment vertical="center"/>
    </xf>
    <xf numFmtId="0" fontId="10" fillId="9" borderId="5" applyNumberFormat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176" fontId="0" fillId="3" borderId="0" xfId="0" applyNumberFormat="1" applyFill="1">
      <alignment vertical="center"/>
    </xf>
    <xf numFmtId="176" fontId="0" fillId="0" borderId="0" xfId="0" applyNumberFormat="1" applyFill="1">
      <alignment vertical="center"/>
    </xf>
    <xf numFmtId="177" fontId="0" fillId="4" borderId="0" xfId="3" applyNumberFormat="1" applyFill="1">
      <alignment vertical="center"/>
    </xf>
    <xf numFmtId="0" fontId="0" fillId="4" borderId="0" xfId="0" applyFill="1">
      <alignment vertical="center"/>
    </xf>
    <xf numFmtId="0" fontId="0" fillId="5" borderId="0" xfId="0" applyFill="1" applyAlignment="1">
      <alignment horizontal="center" vertical="center"/>
    </xf>
    <xf numFmtId="176" fontId="0" fillId="0" borderId="0" xfId="0" applyNumberFormat="1" applyFill="1">
      <alignment vertical="center"/>
    </xf>
    <xf numFmtId="10" fontId="0" fillId="0" borderId="0" xfId="3" applyNumberFormat="1" applyFill="1">
      <alignment vertical="center"/>
    </xf>
    <xf numFmtId="10" fontId="0" fillId="6" borderId="0" xfId="3" applyNumberFormat="1" applyFill="1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1"/>
  <sheetViews>
    <sheetView tabSelected="1" workbookViewId="0">
      <selection activeCell="L7" sqref="L7"/>
    </sheetView>
  </sheetViews>
  <sheetFormatPr defaultColWidth="9.14285714285714" defaultRowHeight="16.8"/>
  <cols>
    <col min="4" max="4" width="13.3839285714286" customWidth="1"/>
    <col min="5" max="6" width="14" style="1"/>
    <col min="8" max="8" width="12.6428571428571" customWidth="1"/>
    <col min="9" max="9" width="12.7857142857143" hidden="1" customWidth="1"/>
    <col min="10" max="10" width="2.23214285714286" style="2" customWidth="1"/>
    <col min="11" max="11" width="9.51785714285714" customWidth="1"/>
    <col min="12" max="12" width="12.7857142857143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4" t="s">
        <v>5</v>
      </c>
      <c r="G1" t="s">
        <v>6</v>
      </c>
      <c r="H1" t="s">
        <v>7</v>
      </c>
      <c r="K1" t="s">
        <v>8</v>
      </c>
      <c r="L1" s="5">
        <v>0.03</v>
      </c>
    </row>
    <row r="2" spans="1:12">
      <c r="A2">
        <v>1</v>
      </c>
      <c r="B2">
        <f>IF(A2&lt;=$L$3,$L$2,0)</f>
        <v>100000</v>
      </c>
      <c r="C2">
        <f>B2</f>
        <v>100000</v>
      </c>
      <c r="D2">
        <v>0</v>
      </c>
      <c r="E2" s="1">
        <f>IF(A2&lt;$L$3,0,IF(A2=$L$3,C2,E1*(1+$L$1)))</f>
        <v>0</v>
      </c>
      <c r="F2" s="1">
        <f>B2</f>
        <v>100000</v>
      </c>
      <c r="I2">
        <f>IF(A2&lt;&gt;$L$4,-B2,$L$5)</f>
        <v>-100000</v>
      </c>
      <c r="K2" t="s">
        <v>9</v>
      </c>
      <c r="L2" s="6">
        <v>100000</v>
      </c>
    </row>
    <row r="3" spans="1:12">
      <c r="A3">
        <v>2</v>
      </c>
      <c r="B3">
        <f t="shared" ref="B3:B34" si="0">IF(A3&lt;=$L$3,$L$2,0)</f>
        <v>100000</v>
      </c>
      <c r="C3">
        <f>C2+B3</f>
        <v>200000</v>
      </c>
      <c r="D3">
        <v>0</v>
      </c>
      <c r="E3" s="1">
        <f>IF(A3&lt;$L$3,0,IF(A3=$L$3,C3,E2*(1+$L$1)))</f>
        <v>0</v>
      </c>
      <c r="F3" s="1">
        <f>F2*(1+$L$7)+B3</f>
        <v>201985.749897604</v>
      </c>
      <c r="I3">
        <f t="shared" ref="I3:I34" si="1">IF(A3&lt;&gt;$L$4,-B3,$L$5)</f>
        <v>-100000</v>
      </c>
      <c r="K3" t="s">
        <v>10</v>
      </c>
      <c r="L3" s="6">
        <v>3</v>
      </c>
    </row>
    <row r="4" spans="1:13">
      <c r="A4">
        <v>3</v>
      </c>
      <c r="B4">
        <f t="shared" si="0"/>
        <v>100000</v>
      </c>
      <c r="C4">
        <f t="shared" ref="C4:C35" si="2">C3+B4</f>
        <v>300000</v>
      </c>
      <c r="D4">
        <v>0</v>
      </c>
      <c r="E4" s="1">
        <f>IF(A4&lt;$L$3,0,IF(A4=$L$3,C4,E3*(1+$L$1)))</f>
        <v>300000</v>
      </c>
      <c r="F4" s="1">
        <f t="shared" ref="F4:F35" si="3">F3*(1+$L$7)+B4</f>
        <v>305996.68171937</v>
      </c>
      <c r="I4">
        <f t="shared" si="1"/>
        <v>-100000</v>
      </c>
      <c r="K4" t="s">
        <v>11</v>
      </c>
      <c r="L4" s="7">
        <v>5</v>
      </c>
      <c r="M4" t="s">
        <v>12</v>
      </c>
    </row>
    <row r="5" spans="1:12">
      <c r="A5">
        <v>4</v>
      </c>
      <c r="B5">
        <f t="shared" si="0"/>
        <v>0</v>
      </c>
      <c r="C5">
        <f t="shared" si="2"/>
        <v>300000</v>
      </c>
      <c r="D5">
        <v>0</v>
      </c>
      <c r="E5" s="1">
        <f>IF(A5&lt;$L$3,0,IF(A5=$L$3,C5,E4*(1+$L$1)))</f>
        <v>309000</v>
      </c>
      <c r="F5" s="1">
        <f t="shared" si="3"/>
        <v>312073.010513283</v>
      </c>
      <c r="I5">
        <f t="shared" si="1"/>
        <v>0</v>
      </c>
      <c r="K5" t="s">
        <v>13</v>
      </c>
      <c r="L5">
        <f>INDEX(E:E,L4+1)</f>
        <v>318270</v>
      </c>
    </row>
    <row r="6" spans="1:12">
      <c r="A6">
        <v>5</v>
      </c>
      <c r="B6">
        <f t="shared" si="0"/>
        <v>0</v>
      </c>
      <c r="C6">
        <f t="shared" si="2"/>
        <v>300000</v>
      </c>
      <c r="D6">
        <v>0</v>
      </c>
      <c r="E6" s="1">
        <f t="shared" ref="E6:E37" si="4">IF(A6&lt;$L$3,0,IF(A6=$L$3,C6,E5*(1+$L$1)))</f>
        <v>318270</v>
      </c>
      <c r="F6" s="1">
        <f t="shared" si="3"/>
        <v>318270</v>
      </c>
      <c r="I6">
        <f t="shared" si="1"/>
        <v>318270</v>
      </c>
      <c r="K6" t="s">
        <v>14</v>
      </c>
      <c r="L6" s="8">
        <f>INDEX(F:F,L4+1)</f>
        <v>318270</v>
      </c>
    </row>
    <row r="7" spans="1:13">
      <c r="A7">
        <v>6</v>
      </c>
      <c r="B7">
        <f t="shared" si="0"/>
        <v>0</v>
      </c>
      <c r="C7">
        <f t="shared" si="2"/>
        <v>300000</v>
      </c>
      <c r="D7">
        <v>0</v>
      </c>
      <c r="E7" s="1">
        <f t="shared" si="4"/>
        <v>327818.1</v>
      </c>
      <c r="F7" s="1">
        <f t="shared" si="3"/>
        <v>324590.046199104</v>
      </c>
      <c r="I7">
        <f t="shared" si="1"/>
        <v>0</v>
      </c>
      <c r="K7" s="9" t="s">
        <v>15</v>
      </c>
      <c r="L7" s="10">
        <f>IRR(I2:I100)</f>
        <v>0.0198574989760383</v>
      </c>
      <c r="M7" s="11"/>
    </row>
    <row r="8" spans="1:9">
      <c r="A8">
        <v>7</v>
      </c>
      <c r="B8">
        <f t="shared" si="0"/>
        <v>0</v>
      </c>
      <c r="C8">
        <f t="shared" si="2"/>
        <v>300000</v>
      </c>
      <c r="D8">
        <v>0</v>
      </c>
      <c r="E8" s="1">
        <f t="shared" si="4"/>
        <v>337652.643</v>
      </c>
      <c r="F8" s="1">
        <f t="shared" si="3"/>
        <v>331035.592709135</v>
      </c>
      <c r="I8">
        <f t="shared" si="1"/>
        <v>0</v>
      </c>
    </row>
    <row r="9" spans="1:9">
      <c r="A9">
        <v>8</v>
      </c>
      <c r="B9">
        <f t="shared" si="0"/>
        <v>0</v>
      </c>
      <c r="C9">
        <f t="shared" si="2"/>
        <v>300000</v>
      </c>
      <c r="D9">
        <v>0</v>
      </c>
      <c r="E9" s="1">
        <f t="shared" si="4"/>
        <v>347782.22229</v>
      </c>
      <c r="F9" s="1">
        <f t="shared" si="3"/>
        <v>337609.131652388</v>
      </c>
      <c r="I9">
        <f t="shared" si="1"/>
        <v>0</v>
      </c>
    </row>
    <row r="10" spans="1:9">
      <c r="A10">
        <v>9</v>
      </c>
      <c r="B10">
        <f t="shared" si="0"/>
        <v>0</v>
      </c>
      <c r="C10">
        <f t="shared" si="2"/>
        <v>300000</v>
      </c>
      <c r="D10">
        <v>0</v>
      </c>
      <c r="E10" s="1">
        <f t="shared" si="4"/>
        <v>358215.6889587</v>
      </c>
      <c r="F10" s="1">
        <f t="shared" si="3"/>
        <v>344313.204638477</v>
      </c>
      <c r="I10">
        <f t="shared" si="1"/>
        <v>0</v>
      </c>
    </row>
    <row r="11" spans="1:9">
      <c r="A11">
        <v>10</v>
      </c>
      <c r="B11">
        <f t="shared" si="0"/>
        <v>0</v>
      </c>
      <c r="C11">
        <f t="shared" si="2"/>
        <v>300000</v>
      </c>
      <c r="D11">
        <v>0</v>
      </c>
      <c r="E11" s="1">
        <f t="shared" si="4"/>
        <v>368962.159627461</v>
      </c>
      <c r="F11" s="1">
        <f t="shared" si="3"/>
        <v>351150.403747022</v>
      </c>
      <c r="I11">
        <f t="shared" si="1"/>
        <v>0</v>
      </c>
    </row>
    <row r="12" spans="1:9">
      <c r="A12">
        <v>11</v>
      </c>
      <c r="B12">
        <f t="shared" si="0"/>
        <v>0</v>
      </c>
      <c r="C12">
        <f t="shared" si="2"/>
        <v>300000</v>
      </c>
      <c r="D12">
        <v>0</v>
      </c>
      <c r="E12" s="1">
        <f t="shared" si="4"/>
        <v>380031.024416285</v>
      </c>
      <c r="F12" s="1">
        <f t="shared" si="3"/>
        <v>358123.372529864</v>
      </c>
      <c r="I12">
        <f t="shared" si="1"/>
        <v>0</v>
      </c>
    </row>
    <row r="13" spans="1:9">
      <c r="A13">
        <v>12</v>
      </c>
      <c r="B13">
        <f t="shared" si="0"/>
        <v>0</v>
      </c>
      <c r="C13">
        <f t="shared" si="2"/>
        <v>300000</v>
      </c>
      <c r="D13">
        <v>0</v>
      </c>
      <c r="E13" s="1">
        <f t="shared" si="4"/>
        <v>391431.955148773</v>
      </c>
      <c r="F13" s="1">
        <f t="shared" si="3"/>
        <v>365234.807033171</v>
      </c>
      <c r="I13">
        <f t="shared" si="1"/>
        <v>0</v>
      </c>
    </row>
    <row r="14" spans="1:9">
      <c r="A14">
        <v>13</v>
      </c>
      <c r="B14">
        <f t="shared" si="0"/>
        <v>0</v>
      </c>
      <c r="C14">
        <f t="shared" si="2"/>
        <v>300000</v>
      </c>
      <c r="D14">
        <v>0</v>
      </c>
      <c r="E14" s="1">
        <f t="shared" si="4"/>
        <v>403174.913803237</v>
      </c>
      <c r="F14" s="1">
        <f t="shared" si="3"/>
        <v>372487.456839846</v>
      </c>
      <c r="I14">
        <f t="shared" si="1"/>
        <v>0</v>
      </c>
    </row>
    <row r="15" spans="1:9">
      <c r="A15">
        <v>14</v>
      </c>
      <c r="B15">
        <f t="shared" si="0"/>
        <v>0</v>
      </c>
      <c r="C15">
        <f t="shared" si="2"/>
        <v>300000</v>
      </c>
      <c r="D15">
        <v>0</v>
      </c>
      <c r="E15" s="1">
        <f t="shared" si="4"/>
        <v>415270.161217334</v>
      </c>
      <c r="F15" s="1">
        <f t="shared" si="3"/>
        <v>379884.12613263</v>
      </c>
      <c r="I15">
        <f t="shared" si="1"/>
        <v>0</v>
      </c>
    </row>
    <row r="16" spans="1:9">
      <c r="A16">
        <v>15</v>
      </c>
      <c r="B16">
        <f t="shared" si="0"/>
        <v>0</v>
      </c>
      <c r="C16">
        <f t="shared" si="2"/>
        <v>300000</v>
      </c>
      <c r="D16">
        <v>0</v>
      </c>
      <c r="E16" s="1">
        <f t="shared" si="4"/>
        <v>427728.266053854</v>
      </c>
      <c r="F16" s="1">
        <f t="shared" si="3"/>
        <v>387427.674778322</v>
      </c>
      <c r="I16">
        <f t="shared" si="1"/>
        <v>0</v>
      </c>
    </row>
    <row r="17" spans="1:9">
      <c r="A17">
        <v>16</v>
      </c>
      <c r="B17">
        <f t="shared" si="0"/>
        <v>0</v>
      </c>
      <c r="C17">
        <f t="shared" si="2"/>
        <v>300000</v>
      </c>
      <c r="D17">
        <v>0</v>
      </c>
      <c r="E17" s="1">
        <f t="shared" si="4"/>
        <v>440560.114035469</v>
      </c>
      <c r="F17" s="1">
        <f t="shared" si="3"/>
        <v>395121.019433521</v>
      </c>
      <c r="I17">
        <f t="shared" si="1"/>
        <v>0</v>
      </c>
    </row>
    <row r="18" spans="1:9">
      <c r="A18">
        <v>17</v>
      </c>
      <c r="B18">
        <f t="shared" si="0"/>
        <v>0</v>
      </c>
      <c r="C18">
        <f t="shared" si="2"/>
        <v>300000</v>
      </c>
      <c r="D18">
        <v>0</v>
      </c>
      <c r="E18" s="1">
        <f t="shared" si="4"/>
        <v>453776.917456534</v>
      </c>
      <c r="F18" s="1">
        <f t="shared" si="3"/>
        <v>402967.134672334</v>
      </c>
      <c r="I18">
        <f t="shared" si="1"/>
        <v>0</v>
      </c>
    </row>
    <row r="19" spans="1:9">
      <c r="A19">
        <v>18</v>
      </c>
      <c r="B19">
        <f t="shared" si="0"/>
        <v>0</v>
      </c>
      <c r="C19">
        <f t="shared" si="2"/>
        <v>300000</v>
      </c>
      <c r="D19">
        <v>0</v>
      </c>
      <c r="E19" s="1">
        <f t="shared" si="4"/>
        <v>467390.22498023</v>
      </c>
      <c r="F19" s="1">
        <f t="shared" si="3"/>
        <v>410969.054136467</v>
      </c>
      <c r="I19">
        <f t="shared" si="1"/>
        <v>0</v>
      </c>
    </row>
    <row r="20" spans="1:9">
      <c r="A20">
        <v>19</v>
      </c>
      <c r="B20">
        <f t="shared" si="0"/>
        <v>0</v>
      </c>
      <c r="C20">
        <f t="shared" si="2"/>
        <v>300000</v>
      </c>
      <c r="D20">
        <v>0</v>
      </c>
      <c r="E20" s="1">
        <f t="shared" si="4"/>
        <v>481411.931729637</v>
      </c>
      <c r="F20" s="1">
        <f t="shared" si="3"/>
        <v>419129.871708165</v>
      </c>
      <c r="I20">
        <f t="shared" si="1"/>
        <v>0</v>
      </c>
    </row>
    <row r="21" spans="1:9">
      <c r="A21">
        <v>20</v>
      </c>
      <c r="B21">
        <f t="shared" si="0"/>
        <v>0</v>
      </c>
      <c r="C21">
        <f t="shared" si="2"/>
        <v>300000</v>
      </c>
      <c r="D21">
        <v>0</v>
      </c>
      <c r="E21" s="1">
        <f t="shared" si="4"/>
        <v>495854.289681526</v>
      </c>
      <c r="F21" s="1">
        <f t="shared" si="3"/>
        <v>427452.742706437</v>
      </c>
      <c r="I21">
        <f t="shared" si="1"/>
        <v>0</v>
      </c>
    </row>
    <row r="22" spans="1:9">
      <c r="A22">
        <v>21</v>
      </c>
      <c r="B22">
        <f t="shared" si="0"/>
        <v>0</v>
      </c>
      <c r="C22">
        <f t="shared" si="2"/>
        <v>300000</v>
      </c>
      <c r="D22">
        <v>0</v>
      </c>
      <c r="E22" s="1">
        <f t="shared" si="4"/>
        <v>510729.918371971</v>
      </c>
      <c r="F22" s="1">
        <f t="shared" si="3"/>
        <v>435940.885107035</v>
      </c>
      <c r="I22">
        <f t="shared" si="1"/>
        <v>0</v>
      </c>
    </row>
    <row r="23" spans="1:9">
      <c r="A23">
        <v>22</v>
      </c>
      <c r="B23">
        <f t="shared" si="0"/>
        <v>0</v>
      </c>
      <c r="C23">
        <f t="shared" si="2"/>
        <v>300000</v>
      </c>
      <c r="D23">
        <v>0</v>
      </c>
      <c r="E23" s="1">
        <f t="shared" si="4"/>
        <v>526051.815923131</v>
      </c>
      <c r="F23" s="1">
        <f t="shared" si="3"/>
        <v>444597.580786661</v>
      </c>
      <c r="I23">
        <f t="shared" si="1"/>
        <v>0</v>
      </c>
    </row>
    <row r="24" spans="1:9">
      <c r="A24">
        <v>23</v>
      </c>
      <c r="B24">
        <f t="shared" si="0"/>
        <v>0</v>
      </c>
      <c r="C24">
        <f t="shared" si="2"/>
        <v>300000</v>
      </c>
      <c r="D24">
        <v>0</v>
      </c>
      <c r="E24" s="1">
        <f t="shared" si="4"/>
        <v>541833.370400825</v>
      </c>
      <c r="F24" s="1">
        <f t="shared" si="3"/>
        <v>453426.176791881</v>
      </c>
      <c r="I24">
        <f t="shared" si="1"/>
        <v>0</v>
      </c>
    </row>
    <row r="25" spans="1:9">
      <c r="A25">
        <v>24</v>
      </c>
      <c r="B25">
        <f t="shared" si="0"/>
        <v>0</v>
      </c>
      <c r="C25">
        <f t="shared" si="2"/>
        <v>300000</v>
      </c>
      <c r="D25">
        <v>0</v>
      </c>
      <c r="E25" s="1">
        <f t="shared" si="4"/>
        <v>558088.371512849</v>
      </c>
      <c r="F25" s="1">
        <f t="shared" si="3"/>
        <v>462430.086633235</v>
      </c>
      <c r="I25">
        <f t="shared" si="1"/>
        <v>0</v>
      </c>
    </row>
    <row r="26" spans="1:9">
      <c r="A26">
        <v>25</v>
      </c>
      <c r="B26">
        <f t="shared" si="0"/>
        <v>0</v>
      </c>
      <c r="C26">
        <f t="shared" si="2"/>
        <v>300000</v>
      </c>
      <c r="D26">
        <v>0</v>
      </c>
      <c r="E26" s="1">
        <f t="shared" si="4"/>
        <v>574831.022658235</v>
      </c>
      <c r="F26" s="1">
        <f t="shared" si="3"/>
        <v>471612.791605044</v>
      </c>
      <c r="I26">
        <f t="shared" si="1"/>
        <v>0</v>
      </c>
    </row>
    <row r="27" spans="1:9">
      <c r="A27">
        <v>26</v>
      </c>
      <c r="B27">
        <f t="shared" si="0"/>
        <v>0</v>
      </c>
      <c r="C27">
        <f t="shared" si="2"/>
        <v>300000</v>
      </c>
      <c r="D27">
        <v>0</v>
      </c>
      <c r="E27" s="1">
        <f t="shared" si="4"/>
        <v>592075.953337982</v>
      </c>
      <c r="F27" s="1">
        <f t="shared" si="3"/>
        <v>480977.842131427</v>
      </c>
      <c r="I27">
        <f t="shared" si="1"/>
        <v>0</v>
      </c>
    </row>
    <row r="28" spans="1:9">
      <c r="A28">
        <v>27</v>
      </c>
      <c r="B28">
        <f t="shared" si="0"/>
        <v>0</v>
      </c>
      <c r="C28">
        <f t="shared" si="2"/>
        <v>300000</v>
      </c>
      <c r="D28">
        <v>0</v>
      </c>
      <c r="E28" s="1">
        <f t="shared" si="4"/>
        <v>609838.231938121</v>
      </c>
      <c r="F28" s="1">
        <f t="shared" si="3"/>
        <v>490528.859139049</v>
      </c>
      <c r="I28">
        <f t="shared" si="1"/>
        <v>0</v>
      </c>
    </row>
    <row r="29" spans="1:9">
      <c r="A29">
        <v>28</v>
      </c>
      <c r="B29">
        <f t="shared" si="0"/>
        <v>0</v>
      </c>
      <c r="C29">
        <f t="shared" si="2"/>
        <v>300000</v>
      </c>
      <c r="D29">
        <v>0</v>
      </c>
      <c r="E29" s="1">
        <f t="shared" si="4"/>
        <v>628133.378896265</v>
      </c>
      <c r="F29" s="1">
        <f t="shared" si="3"/>
        <v>500269.53545712</v>
      </c>
      <c r="I29">
        <f t="shared" si="1"/>
        <v>0</v>
      </c>
    </row>
    <row r="30" spans="1:9">
      <c r="A30">
        <v>29</v>
      </c>
      <c r="B30">
        <f t="shared" si="0"/>
        <v>0</v>
      </c>
      <c r="C30">
        <f t="shared" si="2"/>
        <v>300000</v>
      </c>
      <c r="D30">
        <v>0</v>
      </c>
      <c r="E30" s="1">
        <f t="shared" si="4"/>
        <v>646977.380263153</v>
      </c>
      <c r="F30" s="1">
        <f t="shared" si="3"/>
        <v>510203.637245203</v>
      </c>
      <c r="I30">
        <f t="shared" si="1"/>
        <v>0</v>
      </c>
    </row>
    <row r="31" spans="1:9">
      <c r="A31">
        <v>30</v>
      </c>
      <c r="B31">
        <f t="shared" si="0"/>
        <v>0</v>
      </c>
      <c r="C31">
        <f t="shared" si="2"/>
        <v>300000</v>
      </c>
      <c r="D31">
        <v>0</v>
      </c>
      <c r="E31" s="1">
        <f t="shared" si="4"/>
        <v>666386.701671047</v>
      </c>
      <c r="F31" s="1">
        <f t="shared" si="3"/>
        <v>520335.005449371</v>
      </c>
      <c r="I31">
        <f t="shared" si="1"/>
        <v>0</v>
      </c>
    </row>
    <row r="32" spans="1:9">
      <c r="A32">
        <v>31</v>
      </c>
      <c r="B32">
        <f t="shared" si="0"/>
        <v>0</v>
      </c>
      <c r="C32">
        <f t="shared" si="2"/>
        <v>300000</v>
      </c>
      <c r="D32">
        <v>0</v>
      </c>
      <c r="E32" s="1">
        <f t="shared" si="4"/>
        <v>686378.302721179</v>
      </c>
      <c r="F32" s="1">
        <f t="shared" si="3"/>
        <v>530667.557287278</v>
      </c>
      <c r="I32">
        <f t="shared" si="1"/>
        <v>0</v>
      </c>
    </row>
    <row r="33" spans="1:9">
      <c r="A33">
        <v>32</v>
      </c>
      <c r="B33">
        <f t="shared" si="0"/>
        <v>0</v>
      </c>
      <c r="C33">
        <f t="shared" si="2"/>
        <v>300000</v>
      </c>
      <c r="D33">
        <v>0</v>
      </c>
      <c r="E33" s="1">
        <f t="shared" si="4"/>
        <v>706969.651802814</v>
      </c>
      <c r="F33" s="1">
        <f t="shared" si="3"/>
        <v>541205.287762727</v>
      </c>
      <c r="I33">
        <f t="shared" si="1"/>
        <v>0</v>
      </c>
    </row>
    <row r="34" spans="1:9">
      <c r="A34">
        <v>33</v>
      </c>
      <c r="B34">
        <f t="shared" si="0"/>
        <v>0</v>
      </c>
      <c r="C34">
        <f t="shared" si="2"/>
        <v>300000</v>
      </c>
      <c r="D34">
        <v>0</v>
      </c>
      <c r="E34" s="1">
        <f t="shared" si="4"/>
        <v>728178.741356899</v>
      </c>
      <c r="F34" s="1">
        <f t="shared" si="3"/>
        <v>551952.271210302</v>
      </c>
      <c r="I34">
        <f t="shared" si="1"/>
        <v>0</v>
      </c>
    </row>
    <row r="35" spans="1:9">
      <c r="A35">
        <v>34</v>
      </c>
      <c r="B35">
        <f t="shared" ref="B35:B71" si="5">IF(A35&lt;=$L$3,$L$2,0)</f>
        <v>0</v>
      </c>
      <c r="C35">
        <f t="shared" si="2"/>
        <v>300000</v>
      </c>
      <c r="D35">
        <v>0</v>
      </c>
      <c r="E35" s="1">
        <f t="shared" si="4"/>
        <v>750024.103597606</v>
      </c>
      <c r="F35" s="1">
        <f t="shared" si="3"/>
        <v>562912.662870683</v>
      </c>
      <c r="I35">
        <f t="shared" ref="I35:I66" si="6">IF(A35&lt;&gt;$L$4,-B35,$L$5)</f>
        <v>0</v>
      </c>
    </row>
    <row r="36" spans="1:9">
      <c r="A36">
        <v>35</v>
      </c>
      <c r="B36">
        <f t="shared" si="5"/>
        <v>0</v>
      </c>
      <c r="C36">
        <f t="shared" ref="C36:C71" si="7">C35+B36</f>
        <v>300000</v>
      </c>
      <c r="D36">
        <v>0</v>
      </c>
      <c r="E36" s="1">
        <f t="shared" si="4"/>
        <v>772524.826705534</v>
      </c>
      <c r="F36" s="1">
        <f t="shared" ref="F36:F71" si="8">F35*(1+$L$7)+B36</f>
        <v>574090.700497236</v>
      </c>
      <c r="I36">
        <f t="shared" si="6"/>
        <v>0</v>
      </c>
    </row>
    <row r="37" spans="1:9">
      <c r="A37">
        <v>36</v>
      </c>
      <c r="B37">
        <f t="shared" si="5"/>
        <v>0</v>
      </c>
      <c r="C37">
        <f t="shared" si="7"/>
        <v>300000</v>
      </c>
      <c r="D37">
        <v>0</v>
      </c>
      <c r="E37" s="1">
        <f t="shared" si="4"/>
        <v>795700.5715067</v>
      </c>
      <c r="F37" s="1">
        <f t="shared" si="8"/>
        <v>585490.705994513</v>
      </c>
      <c r="I37">
        <f t="shared" si="6"/>
        <v>0</v>
      </c>
    </row>
    <row r="38" spans="1:9">
      <c r="A38">
        <v>37</v>
      </c>
      <c r="B38">
        <f t="shared" si="5"/>
        <v>0</v>
      </c>
      <c r="C38">
        <f t="shared" si="7"/>
        <v>300000</v>
      </c>
      <c r="D38">
        <v>0</v>
      </c>
      <c r="E38" s="1">
        <f t="shared" ref="E38:E69" si="9">IF(A38&lt;$L$3,0,IF(A38=$L$3,C38,E37*(1+$L$1)))</f>
        <v>819571.588651901</v>
      </c>
      <c r="F38" s="1">
        <f t="shared" si="8"/>
        <v>597117.087089279</v>
      </c>
      <c r="I38">
        <f t="shared" si="6"/>
        <v>0</v>
      </c>
    </row>
    <row r="39" spans="1:9">
      <c r="A39">
        <v>38</v>
      </c>
      <c r="B39">
        <f t="shared" si="5"/>
        <v>0</v>
      </c>
      <c r="C39">
        <f t="shared" si="7"/>
        <v>300000</v>
      </c>
      <c r="D39">
        <v>0</v>
      </c>
      <c r="E39" s="1">
        <f t="shared" si="9"/>
        <v>844158.736311458</v>
      </c>
      <c r="F39" s="1">
        <f t="shared" si="8"/>
        <v>608974.33903473</v>
      </c>
      <c r="I39">
        <f t="shared" si="6"/>
        <v>0</v>
      </c>
    </row>
    <row r="40" spans="1:9">
      <c r="A40">
        <v>39</v>
      </c>
      <c r="B40">
        <f t="shared" si="5"/>
        <v>0</v>
      </c>
      <c r="C40">
        <f t="shared" si="7"/>
        <v>300000</v>
      </c>
      <c r="D40">
        <v>0</v>
      </c>
      <c r="E40" s="1">
        <f t="shared" si="9"/>
        <v>869483.498400802</v>
      </c>
      <c r="F40" s="1">
        <f t="shared" si="8"/>
        <v>621067.046348545</v>
      </c>
      <c r="I40">
        <f t="shared" si="6"/>
        <v>0</v>
      </c>
    </row>
    <row r="41" spans="1:9">
      <c r="A41">
        <v>40</v>
      </c>
      <c r="B41">
        <f t="shared" si="5"/>
        <v>0</v>
      </c>
      <c r="C41">
        <f t="shared" si="7"/>
        <v>300000</v>
      </c>
      <c r="D41">
        <v>0</v>
      </c>
      <c r="E41" s="1">
        <f t="shared" si="9"/>
        <v>895568.003352826</v>
      </c>
      <c r="F41" s="1">
        <f t="shared" si="8"/>
        <v>633399.884585463</v>
      </c>
      <c r="I41">
        <f t="shared" si="6"/>
        <v>0</v>
      </c>
    </row>
    <row r="42" spans="1:9">
      <c r="A42">
        <v>41</v>
      </c>
      <c r="B42">
        <f t="shared" si="5"/>
        <v>0</v>
      </c>
      <c r="C42">
        <f t="shared" si="7"/>
        <v>300000</v>
      </c>
      <c r="D42">
        <v>0</v>
      </c>
      <c r="E42" s="1">
        <f t="shared" si="9"/>
        <v>922435.043453411</v>
      </c>
      <c r="F42" s="1">
        <f t="shared" si="8"/>
        <v>645977.622145041</v>
      </c>
      <c r="I42">
        <f t="shared" si="6"/>
        <v>0</v>
      </c>
    </row>
    <row r="43" spans="1:9">
      <c r="A43">
        <v>42</v>
      </c>
      <c r="B43">
        <f t="shared" si="5"/>
        <v>0</v>
      </c>
      <c r="C43">
        <f t="shared" si="7"/>
        <v>300000</v>
      </c>
      <c r="D43">
        <v>0</v>
      </c>
      <c r="E43" s="1">
        <f t="shared" si="9"/>
        <v>950108.094757013</v>
      </c>
      <c r="F43" s="1">
        <f t="shared" si="8"/>
        <v>658805.12211533</v>
      </c>
      <c r="I43">
        <f t="shared" si="6"/>
        <v>0</v>
      </c>
    </row>
    <row r="44" spans="1:9">
      <c r="A44">
        <v>43</v>
      </c>
      <c r="B44">
        <f t="shared" si="5"/>
        <v>0</v>
      </c>
      <c r="C44">
        <f t="shared" si="7"/>
        <v>300000</v>
      </c>
      <c r="D44">
        <v>0</v>
      </c>
      <c r="E44" s="1">
        <f t="shared" si="9"/>
        <v>978611.337599723</v>
      </c>
      <c r="F44" s="1">
        <f t="shared" si="8"/>
        <v>671887.344153144</v>
      </c>
      <c r="I44">
        <f t="shared" si="6"/>
        <v>0</v>
      </c>
    </row>
    <row r="45" spans="1:9">
      <c r="A45">
        <v>44</v>
      </c>
      <c r="B45">
        <f t="shared" si="5"/>
        <v>0</v>
      </c>
      <c r="C45">
        <f t="shared" si="7"/>
        <v>300000</v>
      </c>
      <c r="D45">
        <v>0</v>
      </c>
      <c r="E45" s="1">
        <f t="shared" si="9"/>
        <v>1007969.67772772</v>
      </c>
      <c r="F45" s="1">
        <f t="shared" si="8"/>
        <v>685229.346401678</v>
      </c>
      <c r="I45">
        <f t="shared" si="6"/>
        <v>0</v>
      </c>
    </row>
    <row r="46" spans="1:9">
      <c r="A46">
        <v>45</v>
      </c>
      <c r="B46">
        <f t="shared" si="5"/>
        <v>0</v>
      </c>
      <c r="C46">
        <f t="shared" si="7"/>
        <v>300000</v>
      </c>
      <c r="D46">
        <v>0</v>
      </c>
      <c r="E46" s="1">
        <f t="shared" si="9"/>
        <v>1038208.76805955</v>
      </c>
      <c r="F46" s="1">
        <f t="shared" si="8"/>
        <v>698836.287446201</v>
      </c>
      <c r="I46">
        <f t="shared" si="6"/>
        <v>0</v>
      </c>
    </row>
    <row r="47" spans="1:9">
      <c r="A47">
        <v>46</v>
      </c>
      <c r="B47">
        <f t="shared" si="5"/>
        <v>0</v>
      </c>
      <c r="C47">
        <f t="shared" si="7"/>
        <v>300000</v>
      </c>
      <c r="D47">
        <v>0</v>
      </c>
      <c r="E47" s="1">
        <f t="shared" si="9"/>
        <v>1069355.03110133</v>
      </c>
      <c r="F47" s="1">
        <f t="shared" si="8"/>
        <v>712713.428308582</v>
      </c>
      <c r="I47">
        <f t="shared" si="6"/>
        <v>0</v>
      </c>
    </row>
    <row r="48" spans="1:9">
      <c r="A48">
        <v>47</v>
      </c>
      <c r="B48">
        <f t="shared" si="5"/>
        <v>0</v>
      </c>
      <c r="C48">
        <f t="shared" si="7"/>
        <v>300000</v>
      </c>
      <c r="D48">
        <v>0</v>
      </c>
      <c r="E48" s="1">
        <f t="shared" si="9"/>
        <v>1101435.68203437</v>
      </c>
      <c r="F48" s="1">
        <f t="shared" si="8"/>
        <v>726866.134481429</v>
      </c>
      <c r="I48">
        <f t="shared" si="6"/>
        <v>0</v>
      </c>
    </row>
    <row r="49" spans="1:9">
      <c r="A49">
        <v>48</v>
      </c>
      <c r="B49">
        <f t="shared" si="5"/>
        <v>0</v>
      </c>
      <c r="C49">
        <f t="shared" si="7"/>
        <v>300000</v>
      </c>
      <c r="D49">
        <v>0</v>
      </c>
      <c r="E49" s="1">
        <f t="shared" si="9"/>
        <v>1134478.7524954</v>
      </c>
      <c r="F49" s="1">
        <f t="shared" si="8"/>
        <v>741299.87800261</v>
      </c>
      <c r="I49">
        <f t="shared" si="6"/>
        <v>0</v>
      </c>
    </row>
    <row r="50" spans="1:9">
      <c r="A50">
        <v>49</v>
      </c>
      <c r="B50">
        <f t="shared" si="5"/>
        <v>0</v>
      </c>
      <c r="C50">
        <f t="shared" si="7"/>
        <v>300000</v>
      </c>
      <c r="D50">
        <v>0</v>
      </c>
      <c r="E50" s="1">
        <f t="shared" si="9"/>
        <v>1168513.11507027</v>
      </c>
      <c r="F50" s="1">
        <f t="shared" si="8"/>
        <v>756020.239570984</v>
      </c>
      <c r="I50">
        <f t="shared" si="6"/>
        <v>0</v>
      </c>
    </row>
    <row r="51" spans="1:9">
      <c r="A51">
        <v>50</v>
      </c>
      <c r="B51">
        <f t="shared" si="5"/>
        <v>0</v>
      </c>
      <c r="C51">
        <f t="shared" si="7"/>
        <v>300000</v>
      </c>
      <c r="D51">
        <v>0</v>
      </c>
      <c r="E51" s="1">
        <f t="shared" si="9"/>
        <v>1203568.50852237</v>
      </c>
      <c r="F51" s="1">
        <f t="shared" si="8"/>
        <v>771032.910704129</v>
      </c>
      <c r="I51">
        <f t="shared" si="6"/>
        <v>0</v>
      </c>
    </row>
    <row r="52" spans="1:9">
      <c r="A52">
        <v>51</v>
      </c>
      <c r="B52">
        <f t="shared" si="5"/>
        <v>0</v>
      </c>
      <c r="C52">
        <f t="shared" si="7"/>
        <v>300000</v>
      </c>
      <c r="D52">
        <v>0</v>
      </c>
      <c r="E52" s="1">
        <f t="shared" si="9"/>
        <v>1239675.56377805</v>
      </c>
      <c r="F52" s="1">
        <f t="shared" si="8"/>
        <v>786343.695938929</v>
      </c>
      <c r="I52">
        <f t="shared" si="6"/>
        <v>0</v>
      </c>
    </row>
    <row r="53" spans="1:9">
      <c r="A53">
        <v>52</v>
      </c>
      <c r="B53">
        <f t="shared" si="5"/>
        <v>0</v>
      </c>
      <c r="C53">
        <f t="shared" si="7"/>
        <v>300000</v>
      </c>
      <c r="D53">
        <v>0</v>
      </c>
      <c r="E53" s="1">
        <f t="shared" si="9"/>
        <v>1276865.83069139</v>
      </c>
      <c r="F53" s="1">
        <f t="shared" si="8"/>
        <v>801958.51507585</v>
      </c>
      <c r="I53">
        <f t="shared" si="6"/>
        <v>0</v>
      </c>
    </row>
    <row r="54" spans="1:9">
      <c r="A54">
        <v>53</v>
      </c>
      <c r="B54">
        <f t="shared" si="5"/>
        <v>0</v>
      </c>
      <c r="C54">
        <f t="shared" si="7"/>
        <v>300000</v>
      </c>
      <c r="D54">
        <v>0</v>
      </c>
      <c r="E54" s="1">
        <f t="shared" si="9"/>
        <v>1315171.80561213</v>
      </c>
      <c r="F54" s="1">
        <f t="shared" si="8"/>
        <v>817883.405467794</v>
      </c>
      <c r="I54">
        <f t="shared" si="6"/>
        <v>0</v>
      </c>
    </row>
    <row r="55" spans="1:9">
      <c r="A55">
        <v>54</v>
      </c>
      <c r="B55">
        <f t="shared" si="5"/>
        <v>0</v>
      </c>
      <c r="C55">
        <f t="shared" si="7"/>
        <v>300000</v>
      </c>
      <c r="D55">
        <v>0</v>
      </c>
      <c r="E55" s="1">
        <f t="shared" si="9"/>
        <v>1354626.95978049</v>
      </c>
      <c r="F55" s="1">
        <f t="shared" si="8"/>
        <v>834124.524354389</v>
      </c>
      <c r="I55">
        <f t="shared" si="6"/>
        <v>0</v>
      </c>
    </row>
    <row r="56" spans="1:9">
      <c r="A56">
        <v>55</v>
      </c>
      <c r="B56">
        <f t="shared" si="5"/>
        <v>0</v>
      </c>
      <c r="C56">
        <f t="shared" si="7"/>
        <v>300000</v>
      </c>
      <c r="D56">
        <v>0</v>
      </c>
      <c r="E56" s="1">
        <f t="shared" si="9"/>
        <v>1395265.76857391</v>
      </c>
      <c r="F56" s="1">
        <f t="shared" si="8"/>
        <v>850688.151242645</v>
      </c>
      <c r="I56">
        <f t="shared" si="6"/>
        <v>0</v>
      </c>
    </row>
    <row r="57" spans="1:9">
      <c r="A57">
        <v>56</v>
      </c>
      <c r="B57">
        <f t="shared" si="5"/>
        <v>0</v>
      </c>
      <c r="C57">
        <f t="shared" si="7"/>
        <v>300000</v>
      </c>
      <c r="D57">
        <v>0</v>
      </c>
      <c r="E57" s="1">
        <f t="shared" si="9"/>
        <v>1437123.74163113</v>
      </c>
      <c r="F57" s="1">
        <f t="shared" si="8"/>
        <v>867580.690334874</v>
      </c>
      <c r="I57">
        <f t="shared" si="6"/>
        <v>0</v>
      </c>
    </row>
    <row r="58" spans="1:9">
      <c r="A58">
        <v>57</v>
      </c>
      <c r="B58">
        <f t="shared" si="5"/>
        <v>0</v>
      </c>
      <c r="C58">
        <f t="shared" si="7"/>
        <v>300000</v>
      </c>
      <c r="D58">
        <v>0</v>
      </c>
      <c r="E58" s="1">
        <f t="shared" si="9"/>
        <v>1480237.45388006</v>
      </c>
      <c r="F58" s="1">
        <f t="shared" si="8"/>
        <v>884808.673004829</v>
      </c>
      <c r="I58">
        <f t="shared" si="6"/>
        <v>0</v>
      </c>
    </row>
    <row r="59" spans="1:9">
      <c r="A59">
        <v>58</v>
      </c>
      <c r="B59">
        <f t="shared" si="5"/>
        <v>0</v>
      </c>
      <c r="C59">
        <f t="shared" si="7"/>
        <v>300000</v>
      </c>
      <c r="D59">
        <v>0</v>
      </c>
      <c r="E59" s="1">
        <f t="shared" si="9"/>
        <v>1524644.57749646</v>
      </c>
      <c r="F59" s="1">
        <f t="shared" si="8"/>
        <v>902378.760323012</v>
      </c>
      <c r="I59">
        <f t="shared" si="6"/>
        <v>0</v>
      </c>
    </row>
    <row r="60" spans="1:9">
      <c r="A60">
        <v>59</v>
      </c>
      <c r="B60">
        <f t="shared" si="5"/>
        <v>0</v>
      </c>
      <c r="C60">
        <f t="shared" si="7"/>
        <v>300000</v>
      </c>
      <c r="D60">
        <v>0</v>
      </c>
      <c r="E60" s="1">
        <f t="shared" si="9"/>
        <v>1570383.91482135</v>
      </c>
      <c r="F60" s="1">
        <f t="shared" si="8"/>
        <v>920297.745632125</v>
      </c>
      <c r="I60">
        <f t="shared" si="6"/>
        <v>0</v>
      </c>
    </row>
    <row r="61" spans="1:9">
      <c r="A61">
        <v>60</v>
      </c>
      <c r="B61">
        <f t="shared" si="5"/>
        <v>0</v>
      </c>
      <c r="C61">
        <f t="shared" si="7"/>
        <v>300000</v>
      </c>
      <c r="D61">
        <v>0</v>
      </c>
      <c r="E61" s="1">
        <f t="shared" si="9"/>
        <v>1617495.432266</v>
      </c>
      <c r="F61" s="1">
        <f t="shared" si="8"/>
        <v>938572.557173665</v>
      </c>
      <c r="I61">
        <f t="shared" si="6"/>
        <v>0</v>
      </c>
    </row>
    <row r="62" spans="1:9">
      <c r="A62">
        <v>61</v>
      </c>
      <c r="B62">
        <f t="shared" si="5"/>
        <v>0</v>
      </c>
      <c r="C62">
        <f t="shared" si="7"/>
        <v>300000</v>
      </c>
      <c r="D62">
        <v>0</v>
      </c>
      <c r="E62" s="1">
        <f t="shared" si="9"/>
        <v>1666020.29523397</v>
      </c>
      <c r="F62" s="1">
        <f t="shared" si="8"/>
        <v>957210.260766679</v>
      </c>
      <c r="I62">
        <f t="shared" si="6"/>
        <v>0</v>
      </c>
    </row>
    <row r="63" spans="1:9">
      <c r="A63">
        <v>62</v>
      </c>
      <c r="B63">
        <f t="shared" si="5"/>
        <v>0</v>
      </c>
      <c r="C63">
        <f t="shared" si="7"/>
        <v>300000</v>
      </c>
      <c r="D63">
        <v>0</v>
      </c>
      <c r="E63" s="1">
        <f t="shared" si="9"/>
        <v>1716000.90409099</v>
      </c>
      <c r="F63" s="1">
        <f t="shared" si="8"/>
        <v>976218.062539707</v>
      </c>
      <c r="I63">
        <f t="shared" si="6"/>
        <v>0</v>
      </c>
    </row>
    <row r="64" spans="1:9">
      <c r="A64">
        <v>63</v>
      </c>
      <c r="B64">
        <f t="shared" si="5"/>
        <v>0</v>
      </c>
      <c r="C64">
        <f t="shared" si="7"/>
        <v>300000</v>
      </c>
      <c r="D64">
        <v>0</v>
      </c>
      <c r="E64" s="1">
        <f t="shared" si="9"/>
        <v>1767480.93121372</v>
      </c>
      <c r="F64" s="1">
        <f t="shared" si="8"/>
        <v>995603.311716979</v>
      </c>
      <c r="I64">
        <f t="shared" si="6"/>
        <v>0</v>
      </c>
    </row>
    <row r="65" spans="1:9">
      <c r="A65">
        <v>64</v>
      </c>
      <c r="B65">
        <f t="shared" si="5"/>
        <v>0</v>
      </c>
      <c r="C65">
        <f t="shared" si="7"/>
        <v>300000</v>
      </c>
      <c r="D65">
        <v>0</v>
      </c>
      <c r="E65" s="1">
        <f t="shared" si="9"/>
        <v>1820505.35915014</v>
      </c>
      <c r="F65" s="1">
        <f t="shared" si="8"/>
        <v>1015373.50345994</v>
      </c>
      <c r="I65">
        <f t="shared" si="6"/>
        <v>0</v>
      </c>
    </row>
    <row r="66" spans="1:9">
      <c r="A66">
        <v>65</v>
      </c>
      <c r="B66">
        <f t="shared" si="5"/>
        <v>0</v>
      </c>
      <c r="C66">
        <f t="shared" si="7"/>
        <v>300000</v>
      </c>
      <c r="D66">
        <v>0</v>
      </c>
      <c r="E66" s="1">
        <f t="shared" si="9"/>
        <v>1875120.51992464</v>
      </c>
      <c r="F66" s="1">
        <f t="shared" si="8"/>
        <v>1035536.28176519</v>
      </c>
      <c r="I66">
        <f t="shared" si="6"/>
        <v>0</v>
      </c>
    </row>
    <row r="67" spans="1:9">
      <c r="A67">
        <v>66</v>
      </c>
      <c r="B67">
        <f t="shared" si="5"/>
        <v>0</v>
      </c>
      <c r="C67">
        <f t="shared" si="7"/>
        <v>300000</v>
      </c>
      <c r="D67">
        <v>0</v>
      </c>
      <c r="E67" s="1">
        <f t="shared" si="9"/>
        <v>1931374.13552238</v>
      </c>
      <c r="F67" s="1">
        <f t="shared" si="8"/>
        <v>1056099.44241999</v>
      </c>
      <c r="I67">
        <f>IF(A67&lt;&gt;$L$4,-B67,$L$5)</f>
        <v>0</v>
      </c>
    </row>
    <row r="68" spans="1:9">
      <c r="A68">
        <v>67</v>
      </c>
      <c r="B68">
        <f t="shared" si="5"/>
        <v>0</v>
      </c>
      <c r="C68">
        <f t="shared" si="7"/>
        <v>300000</v>
      </c>
      <c r="D68">
        <v>0</v>
      </c>
      <c r="E68" s="1">
        <f t="shared" si="9"/>
        <v>1989315.35958805</v>
      </c>
      <c r="F68" s="1">
        <f t="shared" si="8"/>
        <v>1077070.93601644</v>
      </c>
      <c r="I68">
        <f>IF(A68&lt;&gt;$L$4,-B68,$L$5)</f>
        <v>0</v>
      </c>
    </row>
    <row r="69" spans="1:9">
      <c r="A69">
        <v>68</v>
      </c>
      <c r="B69">
        <f t="shared" si="5"/>
        <v>0</v>
      </c>
      <c r="C69">
        <f t="shared" si="7"/>
        <v>300000</v>
      </c>
      <c r="D69">
        <v>0</v>
      </c>
      <c r="E69" s="1">
        <f t="shared" si="9"/>
        <v>2048994.82037569</v>
      </c>
      <c r="F69" s="1">
        <f t="shared" si="8"/>
        <v>1098458.87102551</v>
      </c>
      <c r="I69">
        <f>IF(A69&lt;&gt;$L$4,-B69,$L$5)</f>
        <v>0</v>
      </c>
    </row>
    <row r="70" spans="1:9">
      <c r="A70">
        <v>69</v>
      </c>
      <c r="B70">
        <f t="shared" si="5"/>
        <v>0</v>
      </c>
      <c r="C70">
        <f t="shared" si="7"/>
        <v>300000</v>
      </c>
      <c r="D70">
        <v>0</v>
      </c>
      <c r="E70" s="1">
        <f>IF(A70&lt;$L$3,0,IF(A70=$L$3,C70,E69*(1+$L$1)))</f>
        <v>2110464.66498696</v>
      </c>
      <c r="F70" s="1">
        <f t="shared" si="8"/>
        <v>1120271.51693212</v>
      </c>
      <c r="I70">
        <f>IF(A70&lt;&gt;$L$4,-B70,$L$5)</f>
        <v>0</v>
      </c>
    </row>
    <row r="71" spans="1:9">
      <c r="A71">
        <v>70</v>
      </c>
      <c r="B71">
        <f t="shared" si="5"/>
        <v>0</v>
      </c>
      <c r="C71">
        <f t="shared" si="7"/>
        <v>300000</v>
      </c>
      <c r="D71">
        <v>0</v>
      </c>
      <c r="E71" s="1">
        <f>IF(A71&lt;$L$3,0,IF(A71=$L$3,C71,E70*(1+$L$1)))</f>
        <v>2173778.60493657</v>
      </c>
      <c r="F71" s="1">
        <f t="shared" si="8"/>
        <v>1142517.30743248</v>
      </c>
      <c r="I71">
        <f>IF(A71&lt;&gt;$L$4,-B71,$L$5)</f>
        <v>0</v>
      </c>
    </row>
  </sheetData>
  <dataValidations count="1">
    <dataValidation type="list" allowBlank="1" showInputMessage="1" showErrorMessage="1" sqref="L4">
      <formula1>$A:$A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增额终身寿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yuxiangzhang</dc:creator>
  <cp:lastModifiedBy>Yuxiang Zhang</cp:lastModifiedBy>
  <dcterms:created xsi:type="dcterms:W3CDTF">2024-02-22T02:44:00Z</dcterms:created>
  <dcterms:modified xsi:type="dcterms:W3CDTF">2024-02-21T17:54:11Z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970C2E6929479C609E63D5659361742C_41</vt:lpwstr>
  </property>
  <property fmtid="{D5CDD505-2E9C-101B-9397-08002B2CF9AE}" pid="3" name="KSOProductBuildVer">
    <vt:lpwstr>2052-6.2.2.8394</vt:lpwstr>
  </property>
</Properties>
</file>